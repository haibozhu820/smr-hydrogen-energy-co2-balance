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smr\"/>
    </mc:Choice>
  </mc:AlternateContent>
  <xr:revisionPtr revIDLastSave="0" documentId="13_ncr:1_{98CF8654-8E8C-4126-810C-F2D2431B32E3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Eingabe" sheetId="1" r:id="rId1"/>
    <sheet name="Vorkette" sheetId="5" r:id="rId2"/>
    <sheet name="SMR+WGS" sheetId="3" r:id="rId3"/>
    <sheet name="PSA+Verdichten" sheetId="4" r:id="rId4"/>
    <sheet name="Ergebnis" sheetId="6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6" l="1"/>
  <c r="F3" i="6"/>
  <c r="K54" i="6"/>
  <c r="K52" i="6"/>
  <c r="K49" i="6"/>
  <c r="K51" i="6"/>
  <c r="H54" i="6"/>
  <c r="H53" i="6"/>
  <c r="H55" i="6" s="1"/>
  <c r="H5" i="6" s="1"/>
  <c r="H52" i="6"/>
  <c r="H51" i="6"/>
  <c r="H49" i="6"/>
  <c r="E56" i="6"/>
  <c r="E55" i="6"/>
  <c r="E54" i="6"/>
  <c r="B54" i="6"/>
  <c r="E52" i="6"/>
  <c r="B52" i="6"/>
  <c r="E51" i="6"/>
  <c r="E53" i="6" s="1"/>
  <c r="E49" i="6"/>
  <c r="D48" i="6"/>
  <c r="G48" i="6" s="1"/>
  <c r="J48" i="6" s="1"/>
  <c r="B55" i="6"/>
  <c r="D41" i="6"/>
  <c r="E42" i="6"/>
  <c r="G3" i="6" s="1"/>
  <c r="K42" i="6"/>
  <c r="I3" i="6" s="1"/>
  <c r="H42" i="6"/>
  <c r="B42" i="6"/>
  <c r="B20" i="1"/>
  <c r="C7" i="6"/>
  <c r="C6" i="6"/>
  <c r="C5" i="6"/>
  <c r="C4" i="6"/>
  <c r="C3" i="6"/>
  <c r="B3" i="6"/>
  <c r="A2" i="5"/>
  <c r="A1" i="5"/>
  <c r="C12" i="5"/>
  <c r="B12" i="5"/>
  <c r="B2" i="5"/>
  <c r="B1" i="5"/>
  <c r="B11" i="5" s="1"/>
  <c r="C10" i="5"/>
  <c r="B10" i="5"/>
  <c r="C9" i="5"/>
  <c r="B9" i="5"/>
  <c r="C8" i="5"/>
  <c r="B8" i="5"/>
  <c r="C7" i="5"/>
  <c r="B7" i="5"/>
  <c r="G16" i="4"/>
  <c r="K53" i="6" l="1"/>
  <c r="K55" i="6" s="1"/>
  <c r="E57" i="6"/>
  <c r="C11" i="5"/>
  <c r="A48" i="6"/>
  <c r="A44" i="6"/>
  <c r="A41" i="6"/>
  <c r="K45" i="6"/>
  <c r="H45" i="6"/>
  <c r="E45" i="6"/>
  <c r="B45" i="6"/>
  <c r="M7" i="3"/>
  <c r="M5" i="3"/>
  <c r="M4" i="3"/>
  <c r="H10" i="4"/>
  <c r="G5" i="6" l="1"/>
  <c r="I5" i="6"/>
  <c r="J41" i="6"/>
  <c r="G41" i="6"/>
  <c r="J44" i="6"/>
  <c r="G44" i="6"/>
  <c r="D44" i="6"/>
  <c r="N25" i="3"/>
  <c r="N24" i="3"/>
  <c r="N23" i="3"/>
  <c r="R35" i="3"/>
  <c r="R34" i="3"/>
  <c r="N35" i="3"/>
  <c r="N34" i="3"/>
  <c r="M35" i="3"/>
  <c r="M17" i="3" l="1"/>
  <c r="B13" i="3"/>
  <c r="N7" i="3"/>
  <c r="N17" i="3"/>
  <c r="N5" i="3"/>
  <c r="O12" i="3"/>
  <c r="O11" i="3"/>
  <c r="N16" i="3"/>
  <c r="M16" i="3"/>
  <c r="O35" i="3" l="1"/>
  <c r="M23" i="3"/>
  <c r="O23" i="3" s="1"/>
  <c r="N22" i="3"/>
  <c r="M24" i="3"/>
  <c r="O24" i="3" s="1"/>
  <c r="M22" i="3"/>
  <c r="M25" i="3"/>
  <c r="O25" i="3" s="1"/>
  <c r="M21" i="3"/>
  <c r="N21" i="3"/>
  <c r="M6" i="3"/>
  <c r="G10" i="4" s="1"/>
  <c r="N4" i="3"/>
  <c r="E15" i="3"/>
  <c r="E14" i="3"/>
  <c r="E13" i="3"/>
  <c r="D13" i="3"/>
  <c r="G8" i="4" s="1"/>
  <c r="G13" i="4" s="1"/>
  <c r="G14" i="4" s="1"/>
  <c r="G3" i="4"/>
  <c r="B2" i="4"/>
  <c r="N46" i="3"/>
  <c r="N47" i="3"/>
  <c r="E4" i="3"/>
  <c r="E7" i="3" s="1"/>
  <c r="O21" i="3" l="1"/>
  <c r="P34" i="3"/>
  <c r="O22" i="3"/>
  <c r="M29" i="3" s="1"/>
  <c r="P35" i="3"/>
  <c r="Q35" i="3" s="1"/>
  <c r="S35" i="3" s="1"/>
  <c r="N6" i="3"/>
  <c r="O34" i="3" s="1"/>
  <c r="M34" i="3"/>
  <c r="G4" i="4"/>
  <c r="D14" i="3"/>
  <c r="B14" i="3" s="1"/>
  <c r="G13" i="3"/>
  <c r="C7" i="3"/>
  <c r="E5" i="3"/>
  <c r="C5" i="3" s="1"/>
  <c r="E6" i="3"/>
  <c r="C6" i="3" s="1"/>
  <c r="M28" i="3" l="1"/>
  <c r="M30" i="3" s="1"/>
  <c r="M38" i="3" s="1"/>
  <c r="Q34" i="3"/>
  <c r="S34" i="3" s="1"/>
  <c r="S36" i="3" s="1"/>
  <c r="M39" i="3" s="1"/>
  <c r="H13" i="3"/>
  <c r="I13" i="3" s="1"/>
  <c r="G15" i="3"/>
  <c r="H15" i="3" s="1"/>
  <c r="I15" i="3" s="1"/>
  <c r="M40" i="3" l="1"/>
  <c r="G17" i="3"/>
  <c r="G14" i="3"/>
  <c r="G16" i="3"/>
  <c r="I16" i="3" s="1"/>
  <c r="H14" i="3"/>
  <c r="I14" i="3" s="1"/>
  <c r="I17" i="3"/>
  <c r="B3" i="4" s="1"/>
  <c r="B4" i="4" l="1"/>
  <c r="B5" i="4"/>
  <c r="K46" i="6"/>
  <c r="H46" i="6"/>
  <c r="H60" i="6" l="1"/>
  <c r="H6" i="6" s="1"/>
  <c r="H4" i="6"/>
  <c r="I4" i="6"/>
  <c r="K60" i="6"/>
  <c r="I6" i="6" s="1"/>
  <c r="B6" i="4"/>
  <c r="H8" i="4" s="1"/>
  <c r="H13" i="4" s="1"/>
  <c r="H14" i="4" s="1"/>
  <c r="H15" i="4" s="1"/>
  <c r="M48" i="3"/>
  <c r="M49" i="3" s="1"/>
  <c r="G15" i="4"/>
  <c r="B46" i="6"/>
  <c r="F4" i="6" s="1"/>
  <c r="G18" i="4" l="1"/>
  <c r="B5" i="6" s="1"/>
  <c r="E46" i="6"/>
  <c r="M41" i="3"/>
  <c r="G4" i="6" l="1"/>
  <c r="E60" i="6"/>
  <c r="G6" i="6" s="1"/>
  <c r="M42" i="3"/>
  <c r="B56" i="6"/>
  <c r="B49" i="6" l="1"/>
  <c r="M53" i="3"/>
  <c r="B4" i="6" s="1"/>
  <c r="B6" i="6" s="1"/>
  <c r="B7" i="6" s="1"/>
  <c r="B51" i="6"/>
  <c r="B53" i="6" s="1"/>
  <c r="B57" i="6" l="1"/>
  <c r="F5" i="6" s="1"/>
  <c r="B60" i="6" l="1"/>
  <c r="F6" i="6" s="1"/>
</calcChain>
</file>

<file path=xl/sharedStrings.xml><?xml version="1.0" encoding="utf-8"?>
<sst xmlns="http://schemas.openxmlformats.org/spreadsheetml/2006/main" count="215" uniqueCount="146">
  <si>
    <t>p0 bar</t>
  </si>
  <si>
    <t>p1 bar</t>
  </si>
  <si>
    <t>CO2</t>
  </si>
  <si>
    <t>CH4</t>
  </si>
  <si>
    <t>H2O</t>
  </si>
  <si>
    <t>H2</t>
  </si>
  <si>
    <t>Masse kg</t>
  </si>
  <si>
    <t>Stoffmenge mol</t>
  </si>
  <si>
    <t>Molare Masse g/mol</t>
  </si>
  <si>
    <t>reine reaktionsgleichung</t>
  </si>
  <si>
    <t>Stoffbilanz</t>
  </si>
  <si>
    <t>Energiebilanz</t>
  </si>
  <si>
    <t>Realität</t>
  </si>
  <si>
    <t>A</t>
  </si>
  <si>
    <t>B</t>
  </si>
  <si>
    <t>C</t>
  </si>
  <si>
    <t>D</t>
  </si>
  <si>
    <t>E</t>
  </si>
  <si>
    <t>Heizwert MJ/kg</t>
  </si>
  <si>
    <t>stöchiometrisch</t>
  </si>
  <si>
    <t xml:space="preserve"> °C  </t>
  </si>
  <si>
    <t>K/1000</t>
  </si>
  <si>
    <t>Heizwert kwh/kg</t>
  </si>
  <si>
    <t>benötigte kg CH4 für 1kg H2</t>
  </si>
  <si>
    <t>CO</t>
  </si>
  <si>
    <t>Einsatzmasse kg</t>
  </si>
  <si>
    <t>Einsatzstoffmenge mol</t>
  </si>
  <si>
    <t>Überschuss/Umsatz</t>
  </si>
  <si>
    <t>Stoffmenge beteiligt mol</t>
  </si>
  <si>
    <t>Stoffmengeübrig mol</t>
  </si>
  <si>
    <t>Masse übrig/produziert kg</t>
  </si>
  <si>
    <t xml:space="preserve">                  </t>
  </si>
  <si>
    <t xml:space="preserve">                     </t>
  </si>
  <si>
    <t>Vorkette</t>
  </si>
  <si>
    <t>Reaktion</t>
  </si>
  <si>
    <t>Umsatzgrad SMR</t>
  </si>
  <si>
    <t>Umsatzgrad WGS</t>
  </si>
  <si>
    <t>Wasserüberschuss</t>
  </si>
  <si>
    <t>recovery rate</t>
  </si>
  <si>
    <t>Energysupply</t>
  </si>
  <si>
    <t>Masse CH4 in kg</t>
  </si>
  <si>
    <t>PSA energieverbrauch in kwh/ton H2</t>
  </si>
  <si>
    <t>Energie verdichten</t>
  </si>
  <si>
    <t>Reaktionsenthalpie(Trkt):</t>
  </si>
  <si>
    <t>chemische Energie:</t>
  </si>
  <si>
    <t>Verdichtungsenergie kwh/kwhH2</t>
  </si>
  <si>
    <t>energy supply CO2 emmision in g/kwh H2</t>
  </si>
  <si>
    <t>Qaufheiz insgesamt kj/mol ch4</t>
  </si>
  <si>
    <t>F</t>
  </si>
  <si>
    <t>H</t>
  </si>
  <si>
    <t>Aufheizenergie in kj/mol</t>
  </si>
  <si>
    <t>elektrische Energie: vernachlässigbar</t>
  </si>
  <si>
    <t>CO2 emmision Strommix in g/kwh H2</t>
  </si>
  <si>
    <t>Gas Phase Heat Capacity (Shomate Equation)</t>
  </si>
  <si>
    <t>T_entschwefelung</t>
  </si>
  <si>
    <t>T_dampf</t>
  </si>
  <si>
    <t>T_raum</t>
  </si>
  <si>
    <t>T_reaktion</t>
  </si>
  <si>
    <t>Stoff</t>
  </si>
  <si>
    <t>H_rel(T_ein)</t>
  </si>
  <si>
    <t>H_rel(T_reaktion)</t>
  </si>
  <si>
    <t>q_i</t>
  </si>
  <si>
    <t>n_i_promolCH4</t>
  </si>
  <si>
    <t>Q_i</t>
  </si>
  <si>
    <t xml:space="preserve">T_ein °C  </t>
  </si>
  <si>
    <t xml:space="preserve">T_reaktion °C  </t>
  </si>
  <si>
    <t>Summe</t>
  </si>
  <si>
    <t>Reaktionsenthalpie</t>
  </si>
  <si>
    <t>Enthalpie</t>
  </si>
  <si>
    <t>ΔHf(298K)</t>
  </si>
  <si>
    <t>h(T_reaktion)</t>
  </si>
  <si>
    <t>Reaktionsenthalpie kj/mol</t>
  </si>
  <si>
    <t>ΔH_SMR bei 850°C</t>
  </si>
  <si>
    <t>ΔH_WGS bei 850°C</t>
  </si>
  <si>
    <t>Q_Reaktion</t>
  </si>
  <si>
    <t>Gaskonstante J/mol*K</t>
  </si>
  <si>
    <t>Temperatur K</t>
  </si>
  <si>
    <t>H2 vor PSA kg</t>
  </si>
  <si>
    <t>H2 nach PSA kg</t>
  </si>
  <si>
    <t>H2 vor PSA mol</t>
  </si>
  <si>
    <t>H2 nach PSA mol</t>
  </si>
  <si>
    <t>CH4 verdichten</t>
  </si>
  <si>
    <t>H2 produkt verdichten</t>
  </si>
  <si>
    <t>Verdichtungsenergie kJ</t>
  </si>
  <si>
    <t>Verdichtungsenergie kwh</t>
  </si>
  <si>
    <t>Verdichtungsenergiegesamt kwh/kwhH2</t>
  </si>
  <si>
    <t>T_raum in °C</t>
  </si>
  <si>
    <t>T_reaktion in °C</t>
  </si>
  <si>
    <t>T_dampf in °C</t>
  </si>
  <si>
    <t>Gesamt CO2</t>
  </si>
  <si>
    <t>Gesamtenergieeinsatz kwh/kwh H2</t>
  </si>
  <si>
    <t>Wirkungsgrad</t>
  </si>
  <si>
    <t>Prozess-CO2</t>
  </si>
  <si>
    <t>Energieversorgung</t>
  </si>
  <si>
    <t>Energiebilanz (kwh/kwh H2)</t>
  </si>
  <si>
    <t>Vorkettenenergiebedarf Erdgas</t>
  </si>
  <si>
    <t>Erdgas-Feuerung</t>
  </si>
  <si>
    <t>Stromheizung</t>
  </si>
  <si>
    <t>Rohstoffenergie + Prozesswärmebedarf in kwh/kwh H2</t>
  </si>
  <si>
    <t>Rohstoffenergie kwh/kwh H2</t>
  </si>
  <si>
    <t>Prozesswärmebedarf in kj/mol</t>
  </si>
  <si>
    <t>Prozesswärmebedarf in kwh/kg CH4</t>
  </si>
  <si>
    <t>Prozesswärmebedarf in kwh/kwh H2</t>
  </si>
  <si>
    <t>scenario</t>
  </si>
  <si>
    <t>Erdgasfeuerung</t>
  </si>
  <si>
    <t>CH4-Rohstoff in kg/kg H2</t>
  </si>
  <si>
    <t>Vorketten-CO2</t>
  </si>
  <si>
    <t>Vorkettenenergie</t>
  </si>
  <si>
    <t>CH4-Rohstoff in kwh/kwh H2</t>
  </si>
  <si>
    <t>CH4 für Prozesswärme in kwh/kwh H2</t>
  </si>
  <si>
    <t>CH4 gesamt in kwh/kwh H2</t>
  </si>
  <si>
    <t>Vorkettenenergie kwh/kwh H2</t>
  </si>
  <si>
    <t>Erdgasfeuerung + Strommix 2024</t>
  </si>
  <si>
    <t>Erdgasfeuerung + Zukunftsstrom</t>
  </si>
  <si>
    <t>Detalierter Rechenweg für CO2 Bilanz:</t>
  </si>
  <si>
    <t>Gesamt</t>
  </si>
  <si>
    <t xml:space="preserve">Gesamtemissionen, gCO2e/kWh_H2 </t>
  </si>
  <si>
    <t>Wärmequelle</t>
  </si>
  <si>
    <t>CH4 Brennstoffbedarf für in kg/kwh H2</t>
  </si>
  <si>
    <t>Faktor CH4-Feuerung, gCO2/kg_CH4</t>
  </si>
  <si>
    <t>CO2-Abstoß Faktor</t>
  </si>
  <si>
    <t>Faktor CH4-Feuerung in gCO2/kgCH4</t>
  </si>
  <si>
    <t>Faktor Strommix g/kwh</t>
  </si>
  <si>
    <t>Faktor Zukunftsstrom g/kwh</t>
  </si>
  <si>
    <t>CO2 aus CH4-Feuerung in g/kwh H2</t>
  </si>
  <si>
    <t>Strombedarf Prozesswärme kwh/kwh H2</t>
  </si>
  <si>
    <t>Strombedarf PSA+Verdichtung</t>
  </si>
  <si>
    <t>Strombedarf PSA+Verdichtung kwh/kwh H2</t>
  </si>
  <si>
    <t>Strombedarf PSA</t>
  </si>
  <si>
    <t>Strombedarf PSA kwh/ton H2</t>
  </si>
  <si>
    <t>Strombedarf PSA kwh/ kwhH2</t>
  </si>
  <si>
    <t>Rohstoffenergie+Prozesswärmebedarf</t>
  </si>
  <si>
    <t>Strombedarf gesamt kwh/kwh H2</t>
  </si>
  <si>
    <t>CO2 aus Strom gCO2eq/kwhH2</t>
  </si>
  <si>
    <t>Vorkettenemissionsfaktor Erdgas gCO₂eq/kWh CH4</t>
  </si>
  <si>
    <t>T_entschwefelung in °C</t>
  </si>
  <si>
    <t>CO2 Emissionen in g/kwh H2</t>
  </si>
  <si>
    <t>CO2 Emissionen durch reaktion in kg CO2/kg H2</t>
  </si>
  <si>
    <t>CO2 Emissionen in g CO2/kwh H2</t>
  </si>
  <si>
    <t>Faktor Strommix gCO2eq/kwh</t>
  </si>
  <si>
    <t>Faktor Zukunftsstrom gCO2eq/kwh</t>
  </si>
  <si>
    <t>CO2-Bilanz gCO2eq/kwh H2</t>
  </si>
  <si>
    <t>Erdgasfeuerung+Strommix2024</t>
  </si>
  <si>
    <t>Erdgasfeuerung+Zukunftsstrom</t>
  </si>
  <si>
    <t>Stromheizung Strommix 2024</t>
  </si>
  <si>
    <t>Stromheizung Zukunftsstrom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</si>
</sst>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baseline="0"/>
              <a:t>CO₂</a:t>
            </a:r>
            <a:r>
              <a:rPr lang="en-US" altLang="zh-CN" sz="1400" b="0" i="0" u="none" strike="noStrike" baseline="0"/>
              <a:t>eq</a:t>
            </a:r>
            <a:r>
              <a:rPr lang="de-DE" sz="1400" b="0" i="0" u="none" strike="noStrike" baseline="0"/>
              <a:t>-Bilanz nach Versorgungsszenario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Ergebnis!$E$3</c:f>
              <c:strCache>
                <c:ptCount val="1"/>
                <c:pt idx="0">
                  <c:v>Vorkette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Ergebnis!$F$2:$I$2</c:f>
              <c:strCache>
                <c:ptCount val="4"/>
                <c:pt idx="0">
                  <c:v>Erdgasfeuerung+Strommix2024</c:v>
                </c:pt>
                <c:pt idx="1">
                  <c:v>Erdgasfeuerung+Zukunftsstrom</c:v>
                </c:pt>
                <c:pt idx="2">
                  <c:v>Stromheizung Strommix 2024</c:v>
                </c:pt>
                <c:pt idx="3">
                  <c:v>Stromheizung Zukunftsstrom</c:v>
                </c:pt>
              </c:strCache>
            </c:strRef>
          </c:cat>
          <c:val>
            <c:numRef>
              <c:f>Ergebnis!$F$3:$I$3</c:f>
              <c:numCache>
                <c:formatCode>General</c:formatCode>
                <c:ptCount val="4"/>
                <c:pt idx="0">
                  <c:v>40.2876619991684</c:v>
                </c:pt>
                <c:pt idx="1">
                  <c:v>40.2876619991684</c:v>
                </c:pt>
                <c:pt idx="2">
                  <c:v>29.485478401887068</c:v>
                </c:pt>
                <c:pt idx="3">
                  <c:v>29.485478401887068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2-4A3D-A1B8-B3FAB5074777}"/>
            </c:ext>
          </c:extLst>
        </c:ser>
        <c:ser>
          <c:idx val="1"/>
          <c:order val="1"/>
          <c:tx>
            <c:strRef>
              <c:f>Ergebnis!$E$4</c:f>
              <c:strCache>
                <c:ptCount val="1"/>
                <c:pt idx="0">
                  <c:v>Prozess-CO2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Ergebnis!$F$2:$I$2</c:f>
              <c:strCache>
                <c:ptCount val="4"/>
                <c:pt idx="0">
                  <c:v>Erdgasfeuerung+Strommix2024</c:v>
                </c:pt>
                <c:pt idx="1">
                  <c:v>Erdgasfeuerung+Zukunftsstrom</c:v>
                </c:pt>
                <c:pt idx="2">
                  <c:v>Stromheizung Strommix 2024</c:v>
                </c:pt>
                <c:pt idx="3">
                  <c:v>Stromheizung Zukunftsstrom</c:v>
                </c:pt>
              </c:strCache>
            </c:strRef>
          </c:cat>
          <c:val>
            <c:numRef>
              <c:f>Ergebnis!$F$4:$I$4</c:f>
              <c:numCache>
                <c:formatCode>General</c:formatCode>
                <c:ptCount val="4"/>
                <c:pt idx="0">
                  <c:v>192.6581158779301</c:v>
                </c:pt>
                <c:pt idx="1">
                  <c:v>192.6581158779301</c:v>
                </c:pt>
                <c:pt idx="2">
                  <c:v>192.6581158779301</c:v>
                </c:pt>
                <c:pt idx="3">
                  <c:v>192.6581158779301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52-4A3D-A1B8-B3FAB5074777}"/>
            </c:ext>
          </c:extLst>
        </c:ser>
        <c:ser>
          <c:idx val="2"/>
          <c:order val="2"/>
          <c:tx>
            <c:strRef>
              <c:f>Ergebnis!$E$5</c:f>
              <c:strCache>
                <c:ptCount val="1"/>
                <c:pt idx="0">
                  <c:v>Energieversorgung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Ergebnis!$F$2:$I$2</c:f>
              <c:strCache>
                <c:ptCount val="4"/>
                <c:pt idx="0">
                  <c:v>Erdgasfeuerung+Strommix2024</c:v>
                </c:pt>
                <c:pt idx="1">
                  <c:v>Erdgasfeuerung+Zukunftsstrom</c:v>
                </c:pt>
                <c:pt idx="2">
                  <c:v>Stromheizung Strommix 2024</c:v>
                </c:pt>
                <c:pt idx="3">
                  <c:v>Stromheizung Zukunftsstrom</c:v>
                </c:pt>
              </c:strCache>
            </c:strRef>
          </c:cat>
          <c:val>
            <c:numRef>
              <c:f>Ergebnis!$F$5:$I$5</c:f>
              <c:numCache>
                <c:formatCode>General</c:formatCode>
                <c:ptCount val="4"/>
                <c:pt idx="0">
                  <c:v>94.957117879461634</c:v>
                </c:pt>
                <c:pt idx="1">
                  <c:v>80.687561090582889</c:v>
                </c:pt>
                <c:pt idx="2">
                  <c:v>156.96965334533593</c:v>
                </c:pt>
                <c:pt idx="3">
                  <c:v>14.674216884974747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52-4A3D-A1B8-B3FAB50747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7853823"/>
        <c:axId val="417839903"/>
      </c:barChart>
      <c:catAx>
        <c:axId val="41785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7839903"/>
        <c:crosses val="autoZero"/>
        <c:auto val="1"/>
        <c:lblAlgn val="ctr"/>
        <c:lblOffset val="100"/>
        <c:noMultiLvlLbl val="0"/>
      </c:catAx>
      <c:valAx>
        <c:axId val="41783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baseline="0"/>
                  <a:t>Emissionen [g CO₂eq/kWh H₂]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1.0713500127908225E-2"/>
              <c:y val="0.271963605560767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785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Energiebilanz nach Heizszenario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Ergebnis!$A$3</c:f>
              <c:strCache>
                <c:ptCount val="1"/>
                <c:pt idx="0">
                  <c:v>Vorkettenenergie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Ergebnis!$B$2:$C$2</c:f>
              <c:strCache>
                <c:ptCount val="2"/>
                <c:pt idx="0">
                  <c:v>Erdgas-Feuerung</c:v>
                </c:pt>
                <c:pt idx="1">
                  <c:v>Stromheizung</c:v>
                </c:pt>
              </c:strCache>
            </c:strRef>
          </c:cat>
          <c:val>
            <c:numRef>
              <c:f>Ergebnis!$B$3:$C$3</c:f>
              <c:numCache>
                <c:formatCode>General</c:formatCode>
                <c:ptCount val="2"/>
                <c:pt idx="0">
                  <c:v>0.11937085036790639</c:v>
                </c:pt>
                <c:pt idx="1">
                  <c:v>8.7364380450035764E-2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DC-494C-9D45-71EBA4A781FB}"/>
            </c:ext>
          </c:extLst>
        </c:ser>
        <c:ser>
          <c:idx val="1"/>
          <c:order val="1"/>
          <c:tx>
            <c:strRef>
              <c:f>Ergebnis!$A$4</c:f>
              <c:strCache>
                <c:ptCount val="1"/>
                <c:pt idx="0">
                  <c:v>Rohstoffenergie+Prozesswärmebedarf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Ergebnis!$B$2:$C$2</c:f>
              <c:strCache>
                <c:ptCount val="2"/>
                <c:pt idx="0">
                  <c:v>Erdgas-Feuerung</c:v>
                </c:pt>
                <c:pt idx="1">
                  <c:v>Stromheizung</c:v>
                </c:pt>
              </c:strCache>
            </c:strRef>
          </c:cat>
          <c:val>
            <c:numRef>
              <c:f>Ergebnis!$B$4:$C$4</c:f>
              <c:numCache>
                <c:formatCode>General</c:formatCode>
                <c:ptCount val="2"/>
                <c:pt idx="0">
                  <c:v>1.4921356295988297</c:v>
                </c:pt>
                <c:pt idx="1">
                  <c:v>1.4921356295988297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DC-494C-9D45-71EBA4A781FB}"/>
            </c:ext>
          </c:extLst>
        </c:ser>
        <c:ser>
          <c:idx val="2"/>
          <c:order val="2"/>
          <c:tx>
            <c:strRef>
              <c:f>Ergebnis!$A$5</c:f>
              <c:strCache>
                <c:ptCount val="1"/>
                <c:pt idx="0">
                  <c:v>Strombedarf PSA+Verdichtung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#,##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Ergebnis!$B$2:$C$2</c:f>
              <c:strCache>
                <c:ptCount val="2"/>
                <c:pt idx="0">
                  <c:v>Erdgas-Feuerung</c:v>
                </c:pt>
                <c:pt idx="1">
                  <c:v>Stromheizung</c:v>
                </c:pt>
              </c:strCache>
            </c:strRef>
          </c:cat>
          <c:val>
            <c:numRef>
              <c:f>Ergebnis!$B$5:$C$5</c:f>
              <c:numCache>
                <c:formatCode>General</c:formatCode>
                <c:ptCount val="2"/>
                <c:pt idx="0">
                  <c:v>4.4592364965246059E-2</c:v>
                </c:pt>
                <c:pt idx="1">
                  <c:v>4.4592364965246059E-2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DC-494C-9D45-71EBA4A781F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14429423"/>
        <c:axId val="414428943"/>
      </c:barChart>
      <c:catAx>
        <c:axId val="41442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4428943"/>
        <c:crosses val="autoZero"/>
        <c:auto val="1"/>
        <c:lblAlgn val="ctr"/>
        <c:lblOffset val="100"/>
        <c:noMultiLvlLbl val="0"/>
      </c:catAx>
      <c:valAx>
        <c:axId val="4144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kWh/kWh H2 Produkt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1442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7846</xdr:colOff>
      <xdr:row>12</xdr:row>
      <xdr:rowOff>1674</xdr:rowOff>
    </xdr:from>
    <xdr:to>
      <xdr:col>6</xdr:col>
      <xdr:colOff>2036370</xdr:colOff>
      <xdr:row>34</xdr:row>
      <xdr:rowOff>128357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9AD3E40-84D5-04A3-006D-E60DFDF33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141270</xdr:colOff>
      <xdr:row>12</xdr:row>
      <xdr:rowOff>118152</xdr:rowOff>
    </xdr:from>
    <xdr:to>
      <xdr:col>1</xdr:col>
      <xdr:colOff>385281</xdr:colOff>
      <xdr:row>33</xdr:row>
      <xdr:rowOff>111303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5A434003-6F23-CC6B-1ECB-F1E2F62A47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="92" zoomScaleNormal="70" workbookViewId="0">
      <selection activeCell="A23" sqref="A23"/>
    </sheetView>
  </sheetViews>
  <sheetFormatPr baseColWidth="10" defaultColWidth="8.77734375" defaultRowHeight="14.4" x14ac:dyDescent="0.3"/>
  <cols>
    <col min="1" max="1" width="47.6640625" customWidth="1"/>
  </cols>
  <sheetData>
    <row r="1" spans="1:2" x14ac:dyDescent="0.3">
      <c r="A1" t="s">
        <v>33</v>
      </c>
    </row>
    <row r="2" spans="1:2" x14ac:dyDescent="0.3">
      <c r="A2" t="s">
        <v>134</v>
      </c>
      <c r="B2">
        <v>27</v>
      </c>
    </row>
    <row r="3" spans="1:2" x14ac:dyDescent="0.3">
      <c r="A3" t="s">
        <v>95</v>
      </c>
      <c r="B3" s="1">
        <v>0.08</v>
      </c>
    </row>
    <row r="5" spans="1:2" x14ac:dyDescent="0.3">
      <c r="A5" t="s">
        <v>34</v>
      </c>
    </row>
    <row r="6" spans="1:2" x14ac:dyDescent="0.3">
      <c r="A6" t="s">
        <v>40</v>
      </c>
      <c r="B6">
        <v>1</v>
      </c>
    </row>
    <row r="7" spans="1:2" x14ac:dyDescent="0.3">
      <c r="A7" t="s">
        <v>35</v>
      </c>
      <c r="B7">
        <v>0.9</v>
      </c>
    </row>
    <row r="8" spans="1:2" x14ac:dyDescent="0.3">
      <c r="A8" t="s">
        <v>36</v>
      </c>
      <c r="B8">
        <v>0.99</v>
      </c>
    </row>
    <row r="9" spans="1:2" x14ac:dyDescent="0.3">
      <c r="A9" t="s">
        <v>37</v>
      </c>
      <c r="B9">
        <v>3</v>
      </c>
    </row>
    <row r="10" spans="1:2" x14ac:dyDescent="0.3">
      <c r="A10" t="s">
        <v>86</v>
      </c>
      <c r="B10">
        <v>25</v>
      </c>
    </row>
    <row r="11" spans="1:2" x14ac:dyDescent="0.3">
      <c r="A11" t="s">
        <v>88</v>
      </c>
      <c r="B11">
        <v>100</v>
      </c>
    </row>
    <row r="12" spans="1:2" x14ac:dyDescent="0.3">
      <c r="A12" t="s">
        <v>135</v>
      </c>
      <c r="B12">
        <v>350</v>
      </c>
    </row>
    <row r="13" spans="1:2" x14ac:dyDescent="0.3">
      <c r="A13" t="s">
        <v>87</v>
      </c>
      <c r="B13">
        <v>850</v>
      </c>
    </row>
    <row r="15" spans="1:2" x14ac:dyDescent="0.3">
      <c r="A15" t="s">
        <v>39</v>
      </c>
    </row>
    <row r="16" spans="1:2" x14ac:dyDescent="0.3">
      <c r="A16" t="s">
        <v>38</v>
      </c>
      <c r="B16">
        <v>0.85</v>
      </c>
    </row>
    <row r="17" spans="1:2" x14ac:dyDescent="0.3">
      <c r="A17" t="s">
        <v>41</v>
      </c>
      <c r="B17">
        <v>400</v>
      </c>
    </row>
    <row r="19" spans="1:2" x14ac:dyDescent="0.3">
      <c r="A19" t="s">
        <v>120</v>
      </c>
    </row>
    <row r="20" spans="1:2" x14ac:dyDescent="0.3">
      <c r="A20" t="s">
        <v>121</v>
      </c>
      <c r="B20">
        <f>44/16*1000</f>
        <v>2750</v>
      </c>
    </row>
    <row r="21" spans="1:2" x14ac:dyDescent="0.3">
      <c r="A21" t="s">
        <v>139</v>
      </c>
      <c r="B21">
        <v>353</v>
      </c>
    </row>
    <row r="22" spans="1:2" x14ac:dyDescent="0.3">
      <c r="A22" t="s">
        <v>140</v>
      </c>
      <c r="B22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EDC98-9D3E-4E32-9955-7AF24D0621F4}">
  <dimension ref="A1:J19"/>
  <sheetViews>
    <sheetView zoomScale="91" zoomScaleNormal="85" workbookViewId="0">
      <selection activeCell="C11" sqref="C11"/>
    </sheetView>
  </sheetViews>
  <sheetFormatPr baseColWidth="10" defaultRowHeight="14.4" x14ac:dyDescent="0.3"/>
  <cols>
    <col min="1" max="1" width="50.21875" customWidth="1"/>
    <col min="2" max="2" width="29.44140625" customWidth="1"/>
    <col min="3" max="3" width="23.33203125" customWidth="1"/>
    <col min="4" max="4" width="33.109375" customWidth="1"/>
    <col min="5" max="5" width="24.44140625" customWidth="1"/>
    <col min="6" max="6" width="34.5546875" customWidth="1"/>
    <col min="7" max="7" width="32" customWidth="1"/>
  </cols>
  <sheetData>
    <row r="1" spans="1:7" x14ac:dyDescent="0.3">
      <c r="A1" t="str">
        <f>Eingabe!A2</f>
        <v>Vorkettenemissionsfaktor Erdgas gCO₂eq/kWh CH4</v>
      </c>
      <c r="B1">
        <f>Eingabe!B2</f>
        <v>27</v>
      </c>
    </row>
    <row r="2" spans="1:7" x14ac:dyDescent="0.3">
      <c r="A2" t="str">
        <f>Eingabe!A3</f>
        <v>Vorkettenenergiebedarf Erdgas</v>
      </c>
      <c r="B2" s="1">
        <f>Eingabe!B3</f>
        <v>0.08</v>
      </c>
    </row>
    <row r="6" spans="1:7" x14ac:dyDescent="0.3">
      <c r="A6" t="s">
        <v>103</v>
      </c>
      <c r="B6" t="s">
        <v>97</v>
      </c>
      <c r="C6" t="s">
        <v>104</v>
      </c>
    </row>
    <row r="7" spans="1:7" x14ac:dyDescent="0.3">
      <c r="A7" t="s">
        <v>105</v>
      </c>
      <c r="B7">
        <f>1/'PSA+Verdichten'!B5</f>
        <v>2.6209314135010731</v>
      </c>
      <c r="C7">
        <f>B7</f>
        <v>2.6209314135010731</v>
      </c>
    </row>
    <row r="8" spans="1:7" x14ac:dyDescent="0.3">
      <c r="A8" t="s">
        <v>108</v>
      </c>
      <c r="B8">
        <f>B7/'SMR+WGS'!N46*'SMR+WGS'!N47</f>
        <v>1.092054755625447</v>
      </c>
      <c r="C8">
        <f>B8</f>
        <v>1.092054755625447</v>
      </c>
    </row>
    <row r="9" spans="1:7" x14ac:dyDescent="0.3">
      <c r="A9" t="s">
        <v>109</v>
      </c>
      <c r="B9">
        <f>0</f>
        <v>0</v>
      </c>
      <c r="C9">
        <f>'SMR+WGS'!M42</f>
        <v>0.40008087397338266</v>
      </c>
    </row>
    <row r="10" spans="1:7" x14ac:dyDescent="0.3">
      <c r="A10" t="s">
        <v>110</v>
      </c>
      <c r="B10">
        <f>B8+B9</f>
        <v>1.092054755625447</v>
      </c>
      <c r="C10">
        <f>C8+C9</f>
        <v>1.4921356295988297</v>
      </c>
    </row>
    <row r="11" spans="1:7" x14ac:dyDescent="0.3">
      <c r="A11" t="s">
        <v>106</v>
      </c>
      <c r="B11">
        <f>B10*B1</f>
        <v>29.485478401887068</v>
      </c>
      <c r="C11">
        <f>C10*B1</f>
        <v>40.2876619991684</v>
      </c>
    </row>
    <row r="12" spans="1:7" x14ac:dyDescent="0.3">
      <c r="A12" s="2" t="s">
        <v>111</v>
      </c>
      <c r="B12" s="2">
        <f>B10*B2</f>
        <v>8.7364380450035764E-2</v>
      </c>
      <c r="C12" s="2">
        <f>C10*B2</f>
        <v>0.11937085036790639</v>
      </c>
    </row>
    <row r="13" spans="1:7" x14ac:dyDescent="0.3">
      <c r="G13" s="1"/>
    </row>
    <row r="18" spans="7:10" x14ac:dyDescent="0.3">
      <c r="G18" s="2"/>
    </row>
    <row r="19" spans="7:10" x14ac:dyDescent="0.3">
      <c r="J19" s="2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1FFBD-63B9-43E2-AD4F-739A44FE5034}">
  <dimension ref="A1:S53"/>
  <sheetViews>
    <sheetView topLeftCell="E1" zoomScale="64" zoomScaleNormal="64" workbookViewId="0">
      <selection activeCell="N32" sqref="N32"/>
    </sheetView>
  </sheetViews>
  <sheetFormatPr baseColWidth="10" defaultRowHeight="14.4" x14ac:dyDescent="0.3"/>
  <cols>
    <col min="1" max="1" width="21.77734375" customWidth="1"/>
    <col min="2" max="2" width="14.77734375" customWidth="1"/>
    <col min="3" max="3" width="18.21875" customWidth="1"/>
    <col min="4" max="4" width="20.109375" customWidth="1"/>
    <col min="5" max="5" width="17.6640625" customWidth="1"/>
    <col min="6" max="6" width="13.77734375" customWidth="1"/>
    <col min="7" max="7" width="23.5546875" customWidth="1"/>
    <col min="8" max="8" width="23" customWidth="1"/>
    <col min="9" max="9" width="23.33203125" customWidth="1"/>
    <col min="12" max="12" width="58.21875" customWidth="1"/>
    <col min="13" max="13" width="24.33203125" customWidth="1"/>
    <col min="14" max="14" width="23.33203125" customWidth="1"/>
    <col min="15" max="15" width="14.6640625" customWidth="1"/>
    <col min="16" max="16" width="15.21875" customWidth="1"/>
    <col min="17" max="17" width="13.77734375" customWidth="1"/>
    <col min="18" max="18" width="13.6640625" customWidth="1"/>
  </cols>
  <sheetData>
    <row r="1" spans="1:17" x14ac:dyDescent="0.3">
      <c r="A1" t="s">
        <v>10</v>
      </c>
      <c r="L1" t="s">
        <v>11</v>
      </c>
    </row>
    <row r="2" spans="1:17" x14ac:dyDescent="0.3">
      <c r="A2" t="s">
        <v>9</v>
      </c>
      <c r="L2" t="s">
        <v>43</v>
      </c>
    </row>
    <row r="3" spans="1:17" x14ac:dyDescent="0.3">
      <c r="B3" t="s">
        <v>19</v>
      </c>
      <c r="C3" t="s">
        <v>6</v>
      </c>
      <c r="D3" t="s">
        <v>8</v>
      </c>
      <c r="E3" t="s">
        <v>7</v>
      </c>
      <c r="M3" t="s">
        <v>20</v>
      </c>
      <c r="N3" t="s">
        <v>21</v>
      </c>
    </row>
    <row r="4" spans="1:17" x14ac:dyDescent="0.3">
      <c r="A4" t="s">
        <v>3</v>
      </c>
      <c r="B4">
        <v>1</v>
      </c>
      <c r="C4">
        <v>1</v>
      </c>
      <c r="D4">
        <v>16</v>
      </c>
      <c r="E4">
        <f>(C4*1000)/16</f>
        <v>62.5</v>
      </c>
      <c r="L4" t="s">
        <v>56</v>
      </c>
      <c r="M4">
        <f>Eingabe!B10</f>
        <v>25</v>
      </c>
      <c r="N4">
        <f>(M4+273.15)/1000</f>
        <v>0.29814999999999997</v>
      </c>
    </row>
    <row r="5" spans="1:17" x14ac:dyDescent="0.3">
      <c r="A5" t="s">
        <v>4</v>
      </c>
      <c r="B5">
        <v>2</v>
      </c>
      <c r="C5">
        <f>(E5*D5)/1000</f>
        <v>2.25</v>
      </c>
      <c r="D5">
        <v>18</v>
      </c>
      <c r="E5">
        <f>B5*E4</f>
        <v>125</v>
      </c>
      <c r="L5" t="s">
        <v>55</v>
      </c>
      <c r="M5">
        <f>Eingabe!B11</f>
        <v>100</v>
      </c>
      <c r="N5">
        <f>(M5+273.15)/1000</f>
        <v>0.37314999999999998</v>
      </c>
    </row>
    <row r="6" spans="1:17" x14ac:dyDescent="0.3">
      <c r="A6" t="s">
        <v>2</v>
      </c>
      <c r="B6">
        <v>1</v>
      </c>
      <c r="C6">
        <f>(E6*D6)/1000</f>
        <v>2.75</v>
      </c>
      <c r="D6">
        <v>44</v>
      </c>
      <c r="E6">
        <f>B6*E4</f>
        <v>62.5</v>
      </c>
      <c r="L6" t="s">
        <v>54</v>
      </c>
      <c r="M6">
        <f>Eingabe!B12</f>
        <v>350</v>
      </c>
      <c r="N6">
        <f>(M6+273.15)/1000</f>
        <v>0.62314999999999998</v>
      </c>
    </row>
    <row r="7" spans="1:17" x14ac:dyDescent="0.3">
      <c r="A7" t="s">
        <v>5</v>
      </c>
      <c r="B7">
        <v>4</v>
      </c>
      <c r="C7">
        <f>(E7*D7)/1000</f>
        <v>0.5</v>
      </c>
      <c r="D7">
        <v>2</v>
      </c>
      <c r="E7">
        <f>B7*E4</f>
        <v>250</v>
      </c>
      <c r="L7" t="s">
        <v>57</v>
      </c>
      <c r="M7">
        <f>Eingabe!B13</f>
        <v>850</v>
      </c>
      <c r="N7">
        <f>(M7+273.15)/1000</f>
        <v>1.1231500000000001</v>
      </c>
    </row>
    <row r="9" spans="1:17" x14ac:dyDescent="0.3">
      <c r="L9" t="s">
        <v>53</v>
      </c>
    </row>
    <row r="10" spans="1:17" x14ac:dyDescent="0.3">
      <c r="M10" t="s">
        <v>3</v>
      </c>
      <c r="N10" t="s">
        <v>4</v>
      </c>
      <c r="O10" t="s">
        <v>2</v>
      </c>
      <c r="P10" t="s">
        <v>5</v>
      </c>
      <c r="Q10" t="s">
        <v>24</v>
      </c>
    </row>
    <row r="11" spans="1:17" x14ac:dyDescent="0.3">
      <c r="A11" t="s">
        <v>12</v>
      </c>
      <c r="L11" t="s">
        <v>13</v>
      </c>
      <c r="M11">
        <v>-0.70302900000000002</v>
      </c>
      <c r="N11">
        <v>30.091999999999999</v>
      </c>
      <c r="O11">
        <f>24.99735</f>
        <v>24.997350000000001</v>
      </c>
      <c r="P11">
        <v>18.563082999999999</v>
      </c>
      <c r="Q11">
        <v>25.567589999999999</v>
      </c>
    </row>
    <row r="12" spans="1:17" x14ac:dyDescent="0.3">
      <c r="B12" t="s">
        <v>25</v>
      </c>
      <c r="C12" t="s">
        <v>8</v>
      </c>
      <c r="D12" t="s">
        <v>26</v>
      </c>
      <c r="E12" t="s">
        <v>27</v>
      </c>
      <c r="F12" t="s">
        <v>19</v>
      </c>
      <c r="G12" t="s">
        <v>28</v>
      </c>
      <c r="H12" t="s">
        <v>29</v>
      </c>
      <c r="I12" t="s">
        <v>30</v>
      </c>
      <c r="L12" t="s">
        <v>14</v>
      </c>
      <c r="M12">
        <v>108.4773</v>
      </c>
      <c r="N12">
        <v>6.8325139999999998</v>
      </c>
      <c r="O12">
        <f>55.18696</f>
        <v>55.186959999999999</v>
      </c>
      <c r="P12">
        <v>12.257357000000001</v>
      </c>
      <c r="Q12">
        <v>6.0961299999999996</v>
      </c>
    </row>
    <row r="13" spans="1:17" x14ac:dyDescent="0.3">
      <c r="A13" t="s">
        <v>3</v>
      </c>
      <c r="B13">
        <f>Eingabe!B6</f>
        <v>1</v>
      </c>
      <c r="C13">
        <v>16</v>
      </c>
      <c r="D13">
        <f>B13*1000/C13</f>
        <v>62.5</v>
      </c>
      <c r="E13">
        <f>Eingabe!B7</f>
        <v>0.9</v>
      </c>
      <c r="F13">
        <v>1</v>
      </c>
      <c r="G13">
        <f>D13*E13</f>
        <v>56.25</v>
      </c>
      <c r="H13">
        <f>D13-G13</f>
        <v>6.25</v>
      </c>
      <c r="I13">
        <f>H13*C13/1000</f>
        <v>0.1</v>
      </c>
      <c r="L13" t="s">
        <v>15</v>
      </c>
      <c r="M13">
        <v>-42.521569999999997</v>
      </c>
      <c r="N13">
        <v>6.7934349999999997</v>
      </c>
      <c r="O13">
        <v>-33.691369999999999</v>
      </c>
      <c r="P13">
        <v>-2.8597860000000002</v>
      </c>
      <c r="Q13">
        <v>4.0546559999999996</v>
      </c>
    </row>
    <row r="14" spans="1:17" x14ac:dyDescent="0.3">
      <c r="A14" t="s">
        <v>4</v>
      </c>
      <c r="B14">
        <f>D14*C14/1000</f>
        <v>3.375</v>
      </c>
      <c r="C14">
        <v>18</v>
      </c>
      <c r="D14">
        <f>D13*E14</f>
        <v>187.5</v>
      </c>
      <c r="E14">
        <f>Eingabe!B9</f>
        <v>3</v>
      </c>
      <c r="F14">
        <v>2</v>
      </c>
      <c r="G14">
        <f>F13*G13+F15*G15</f>
        <v>111.9375</v>
      </c>
      <c r="H14">
        <f>D14-G14</f>
        <v>75.5625</v>
      </c>
      <c r="I14">
        <f>H14*C14/1000</f>
        <v>1.360125</v>
      </c>
      <c r="L14" t="s">
        <v>16</v>
      </c>
      <c r="M14">
        <v>5.8627880000000001</v>
      </c>
      <c r="N14">
        <v>-2.5344799999999998</v>
      </c>
      <c r="O14">
        <v>7.9483870000000003</v>
      </c>
      <c r="P14">
        <v>0.26823799999999998</v>
      </c>
      <c r="Q14">
        <v>-2.6713010000000001</v>
      </c>
    </row>
    <row r="15" spans="1:17" x14ac:dyDescent="0.3">
      <c r="A15" t="s">
        <v>24</v>
      </c>
      <c r="C15">
        <v>28</v>
      </c>
      <c r="E15">
        <f>Eingabe!B8</f>
        <v>0.99</v>
      </c>
      <c r="F15">
        <v>1</v>
      </c>
      <c r="G15">
        <f>G13*E15</f>
        <v>55.6875</v>
      </c>
      <c r="H15">
        <f>G13-G15</f>
        <v>0.5625</v>
      </c>
      <c r="I15">
        <f>H15*C15/1000</f>
        <v>1.575E-2</v>
      </c>
      <c r="L15" t="s">
        <v>17</v>
      </c>
      <c r="M15">
        <v>0.67856499999999997</v>
      </c>
      <c r="N15">
        <v>8.2139000000000004E-2</v>
      </c>
      <c r="O15">
        <v>-0.13663800000000001</v>
      </c>
      <c r="P15">
        <v>1.9779899999999999</v>
      </c>
      <c r="Q15">
        <v>0.131021</v>
      </c>
    </row>
    <row r="16" spans="1:17" x14ac:dyDescent="0.3">
      <c r="A16" t="s">
        <v>2</v>
      </c>
      <c r="B16" t="s">
        <v>31</v>
      </c>
      <c r="C16">
        <v>44</v>
      </c>
      <c r="F16">
        <v>1</v>
      </c>
      <c r="G16">
        <f>G15</f>
        <v>55.6875</v>
      </c>
      <c r="I16">
        <f>G16*C16/1000</f>
        <v>2.45025</v>
      </c>
      <c r="L16" t="s">
        <v>48</v>
      </c>
      <c r="M16">
        <f>-76.84376</f>
        <v>-76.843760000000003</v>
      </c>
      <c r="N16">
        <f>-250.881</f>
        <v>-250.881</v>
      </c>
      <c r="O16">
        <v>-403.60750000000002</v>
      </c>
      <c r="P16">
        <v>-1.147438</v>
      </c>
      <c r="Q16">
        <v>-118.0089</v>
      </c>
    </row>
    <row r="17" spans="1:17" x14ac:dyDescent="0.3">
      <c r="A17" t="s">
        <v>5</v>
      </c>
      <c r="B17" t="s">
        <v>32</v>
      </c>
      <c r="C17">
        <v>2</v>
      </c>
      <c r="F17">
        <v>4</v>
      </c>
      <c r="G17">
        <f>G13*3+G15*1</f>
        <v>224.4375</v>
      </c>
      <c r="I17">
        <f>G17*C17/1000</f>
        <v>0.44887500000000002</v>
      </c>
      <c r="L17" t="s">
        <v>49</v>
      </c>
      <c r="M17">
        <f>-74.8731</f>
        <v>-74.873099999999994</v>
      </c>
      <c r="N17">
        <f>-241.8264</f>
        <v>-241.82640000000001</v>
      </c>
      <c r="O17">
        <v>-393.5224</v>
      </c>
      <c r="P17">
        <v>0</v>
      </c>
      <c r="Q17">
        <v>-110.5271</v>
      </c>
    </row>
    <row r="19" spans="1:17" x14ac:dyDescent="0.3">
      <c r="L19" t="s">
        <v>68</v>
      </c>
    </row>
    <row r="20" spans="1:17" x14ac:dyDescent="0.3">
      <c r="M20" t="s">
        <v>60</v>
      </c>
      <c r="N20" t="s">
        <v>69</v>
      </c>
      <c r="O20" t="s">
        <v>70</v>
      </c>
    </row>
    <row r="21" spans="1:17" x14ac:dyDescent="0.3">
      <c r="L21" t="s">
        <v>3</v>
      </c>
      <c r="M21">
        <f>M11*N7+M12*N7^2/2+M13*N7^3/3+M14*N7^4/4-M15/N7+M16-M17</f>
        <v>47.306398286481873</v>
      </c>
      <c r="N21">
        <f>M17</f>
        <v>-74.873099999999994</v>
      </c>
      <c r="O21">
        <f>M21+N21</f>
        <v>-27.566701713518121</v>
      </c>
    </row>
    <row r="22" spans="1:17" x14ac:dyDescent="0.3">
      <c r="L22" t="s">
        <v>4</v>
      </c>
      <c r="M22">
        <f>N11*N7+N12*N7^2/2+N13*N7^3/3+N14*N7^4/4-N15/N7+N16-N17</f>
        <v>31.179659626782069</v>
      </c>
      <c r="N22">
        <f>N17</f>
        <v>-241.82640000000001</v>
      </c>
      <c r="O22">
        <f>M22+N22</f>
        <v>-210.64674037321794</v>
      </c>
    </row>
    <row r="23" spans="1:17" x14ac:dyDescent="0.3">
      <c r="L23" t="s">
        <v>2</v>
      </c>
      <c r="M23">
        <f>O11*N7+O12*N7^2/2+O13*N7^3/3+O14*N7^4/4-O15/N7+O16-O17</f>
        <v>40.171139540425884</v>
      </c>
      <c r="N23">
        <f>O17</f>
        <v>-393.5224</v>
      </c>
      <c r="O23">
        <f>M23+N23</f>
        <v>-353.35126045957412</v>
      </c>
    </row>
    <row r="24" spans="1:17" x14ac:dyDescent="0.3">
      <c r="L24" t="s">
        <v>5</v>
      </c>
      <c r="M24">
        <f>P11*N7+P12*N7^2/2+P13*N7^3/3+P14*N7^4/4-P15/N7+P16-P17</f>
        <v>24.427813571436932</v>
      </c>
      <c r="N24">
        <f>P17</f>
        <v>0</v>
      </c>
      <c r="O24">
        <f>M24+N24</f>
        <v>24.427813571436932</v>
      </c>
    </row>
    <row r="25" spans="1:17" x14ac:dyDescent="0.3">
      <c r="L25" t="s">
        <v>24</v>
      </c>
      <c r="M25">
        <f>Q11*N7+Q12*N7^2/2+Q13*N7^3/3+Q14*N7^4/4-Q15/N7+Q16-Q17</f>
        <v>25.815005816354756</v>
      </c>
      <c r="N25">
        <f>Q17</f>
        <v>-110.5271</v>
      </c>
      <c r="O25">
        <f>M25+N25</f>
        <v>-84.712094183645249</v>
      </c>
    </row>
    <row r="27" spans="1:17" x14ac:dyDescent="0.3">
      <c r="L27" t="s">
        <v>67</v>
      </c>
    </row>
    <row r="28" spans="1:17" x14ac:dyDescent="0.3">
      <c r="L28" s="5" t="s">
        <v>72</v>
      </c>
      <c r="M28">
        <f>O25+3*O24-O21-O22</f>
        <v>226.7847886174016</v>
      </c>
    </row>
    <row r="29" spans="1:17" x14ac:dyDescent="0.3">
      <c r="L29" t="s">
        <v>73</v>
      </c>
      <c r="M29">
        <f>O23+O24-O25-O22</f>
        <v>-33.564612331273963</v>
      </c>
    </row>
    <row r="30" spans="1:17" x14ac:dyDescent="0.3">
      <c r="L30" t="s">
        <v>74</v>
      </c>
      <c r="M30">
        <f>Eingabe!B7*M28+Eingabe!B7*Eingabe!B8*M29</f>
        <v>174.20024016849635</v>
      </c>
    </row>
    <row r="32" spans="1:17" x14ac:dyDescent="0.3">
      <c r="L32" t="s">
        <v>50</v>
      </c>
    </row>
    <row r="33" spans="12:19" x14ac:dyDescent="0.3">
      <c r="L33" t="s">
        <v>58</v>
      </c>
      <c r="M33" t="s">
        <v>64</v>
      </c>
      <c r="N33" t="s">
        <v>65</v>
      </c>
      <c r="O33" t="s">
        <v>59</v>
      </c>
      <c r="P33" t="s">
        <v>60</v>
      </c>
      <c r="Q33" t="s">
        <v>61</v>
      </c>
      <c r="R33" t="s">
        <v>62</v>
      </c>
      <c r="S33" t="s">
        <v>63</v>
      </c>
    </row>
    <row r="34" spans="12:19" x14ac:dyDescent="0.3">
      <c r="L34" t="s">
        <v>3</v>
      </c>
      <c r="M34">
        <f>M6</f>
        <v>350</v>
      </c>
      <c r="N34">
        <f>M7</f>
        <v>850</v>
      </c>
      <c r="O34">
        <f>M11*N6+M12*N6^2/2+M13*N6^3/3+M14*N6^4/4-M15/N6+M16-M17</f>
        <v>14.355286410140849</v>
      </c>
      <c r="P34">
        <f>M21</f>
        <v>47.306398286481873</v>
      </c>
      <c r="Q34">
        <f>P34-O34</f>
        <v>32.951111876341024</v>
      </c>
      <c r="R34">
        <f>1</f>
        <v>1</v>
      </c>
      <c r="S34">
        <f>R34*Q34</f>
        <v>32.951111876341024</v>
      </c>
    </row>
    <row r="35" spans="12:19" x14ac:dyDescent="0.3">
      <c r="L35" t="s">
        <v>4</v>
      </c>
      <c r="M35">
        <f>M5</f>
        <v>100</v>
      </c>
      <c r="N35">
        <f>M7</f>
        <v>850</v>
      </c>
      <c r="O35">
        <f>N11*N5+N12*N5^2/2+N13*N5^3/3+N14*N5^4/4-N15/N5+N16-N17</f>
        <v>2.5351618545821566</v>
      </c>
      <c r="P35">
        <f>M22</f>
        <v>31.179659626782069</v>
      </c>
      <c r="Q35">
        <f>P35-O35</f>
        <v>28.644497772199912</v>
      </c>
      <c r="R35">
        <f>3</f>
        <v>3</v>
      </c>
      <c r="S35">
        <f>R35*Q35</f>
        <v>85.933493316599737</v>
      </c>
    </row>
    <row r="36" spans="12:19" x14ac:dyDescent="0.3">
      <c r="L36" t="s">
        <v>66</v>
      </c>
      <c r="S36">
        <f>S34+S35</f>
        <v>118.88460519294077</v>
      </c>
    </row>
    <row r="38" spans="12:19" x14ac:dyDescent="0.3">
      <c r="L38" t="s">
        <v>71</v>
      </c>
      <c r="M38">
        <f>M30</f>
        <v>174.20024016849635</v>
      </c>
    </row>
    <row r="39" spans="12:19" x14ac:dyDescent="0.3">
      <c r="L39" s="2" t="s">
        <v>47</v>
      </c>
      <c r="M39">
        <f>S36</f>
        <v>118.88460519294077</v>
      </c>
    </row>
    <row r="40" spans="12:19" x14ac:dyDescent="0.3">
      <c r="L40" t="s">
        <v>100</v>
      </c>
      <c r="M40">
        <f>M38+M39</f>
        <v>293.08484536143715</v>
      </c>
    </row>
    <row r="41" spans="12:19" x14ac:dyDescent="0.3">
      <c r="L41" t="s">
        <v>101</v>
      </c>
      <c r="M41">
        <f>M40*D13/1000/3.6</f>
        <v>5.088278565302728</v>
      </c>
    </row>
    <row r="42" spans="12:19" x14ac:dyDescent="0.3">
      <c r="L42" t="s">
        <v>102</v>
      </c>
      <c r="M42" s="4">
        <f>M41/'PSA+Verdichten'!B5/'SMR+WGS'!N46</f>
        <v>0.40008087397338266</v>
      </c>
    </row>
    <row r="44" spans="12:19" x14ac:dyDescent="0.3">
      <c r="L44" t="s">
        <v>44</v>
      </c>
    </row>
    <row r="45" spans="12:19" x14ac:dyDescent="0.3">
      <c r="M45" t="s">
        <v>18</v>
      </c>
      <c r="N45" t="s">
        <v>22</v>
      </c>
    </row>
    <row r="46" spans="12:19" x14ac:dyDescent="0.3">
      <c r="L46" t="s">
        <v>5</v>
      </c>
      <c r="M46">
        <v>120</v>
      </c>
      <c r="N46">
        <f>M46/3.6</f>
        <v>33.333333333333336</v>
      </c>
    </row>
    <row r="47" spans="12:19" x14ac:dyDescent="0.3">
      <c r="L47" t="s">
        <v>3</v>
      </c>
      <c r="M47">
        <v>50</v>
      </c>
      <c r="N47">
        <f>M47/3.6</f>
        <v>13.888888888888889</v>
      </c>
    </row>
    <row r="48" spans="12:19" x14ac:dyDescent="0.3">
      <c r="L48" t="s">
        <v>23</v>
      </c>
      <c r="M48">
        <f>1/'PSA+Verdichten'!B5</f>
        <v>2.6209314135010731</v>
      </c>
    </row>
    <row r="49" spans="12:13" x14ac:dyDescent="0.3">
      <c r="L49" t="s">
        <v>99</v>
      </c>
      <c r="M49">
        <f>M48/N46*N47</f>
        <v>1.092054755625447</v>
      </c>
    </row>
    <row r="51" spans="12:13" x14ac:dyDescent="0.3">
      <c r="L51" t="s">
        <v>51</v>
      </c>
    </row>
    <row r="53" spans="12:13" x14ac:dyDescent="0.3">
      <c r="L53" t="s">
        <v>98</v>
      </c>
      <c r="M53" s="2">
        <f>M42+M49</f>
        <v>1.4921356295988297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B05F-9BAD-43A2-8E1A-0D460B51F342}">
  <dimension ref="A1:H18"/>
  <sheetViews>
    <sheetView zoomScale="77" zoomScaleNormal="85" workbookViewId="0">
      <selection sqref="A1:I21"/>
    </sheetView>
  </sheetViews>
  <sheetFormatPr baseColWidth="10" defaultRowHeight="14.4" x14ac:dyDescent="0.3"/>
  <cols>
    <col min="1" max="1" width="17.6640625" customWidth="1"/>
    <col min="4" max="4" width="16.77734375" customWidth="1"/>
    <col min="6" max="6" width="36.6640625" customWidth="1"/>
    <col min="7" max="7" width="15.33203125" customWidth="1"/>
    <col min="8" max="8" width="27.44140625" customWidth="1"/>
    <col min="9" max="9" width="19.5546875" customWidth="1"/>
    <col min="10" max="10" width="15.33203125" customWidth="1"/>
  </cols>
  <sheetData>
    <row r="1" spans="1:8" x14ac:dyDescent="0.3">
      <c r="A1" t="s">
        <v>10</v>
      </c>
      <c r="F1" t="s">
        <v>11</v>
      </c>
    </row>
    <row r="2" spans="1:8" x14ac:dyDescent="0.3">
      <c r="A2" t="s">
        <v>38</v>
      </c>
      <c r="B2">
        <f>Eingabe!B16</f>
        <v>0.85</v>
      </c>
      <c r="F2" t="s">
        <v>128</v>
      </c>
    </row>
    <row r="3" spans="1:8" x14ac:dyDescent="0.3">
      <c r="A3" t="s">
        <v>77</v>
      </c>
      <c r="B3">
        <f>'SMR+WGS'!I17</f>
        <v>0.44887500000000002</v>
      </c>
      <c r="F3" t="s">
        <v>129</v>
      </c>
      <c r="G3">
        <f>Eingabe!B17</f>
        <v>400</v>
      </c>
    </row>
    <row r="4" spans="1:8" x14ac:dyDescent="0.3">
      <c r="A4" t="s">
        <v>79</v>
      </c>
      <c r="B4">
        <f>B3*1000/'SMR+WGS'!D7</f>
        <v>224.4375</v>
      </c>
      <c r="F4" t="s">
        <v>130</v>
      </c>
      <c r="G4">
        <f>G3/1000/'SMR+WGS'!N46</f>
        <v>1.2E-2</v>
      </c>
    </row>
    <row r="5" spans="1:8" x14ac:dyDescent="0.3">
      <c r="A5" t="s">
        <v>78</v>
      </c>
      <c r="B5">
        <f>B3*B2</f>
        <v>0.38154375000000001</v>
      </c>
    </row>
    <row r="6" spans="1:8" x14ac:dyDescent="0.3">
      <c r="A6" t="s">
        <v>80</v>
      </c>
      <c r="B6">
        <f>B5*1000/'SMR+WGS'!D7</f>
        <v>190.77187499999999</v>
      </c>
      <c r="F6" t="s">
        <v>42</v>
      </c>
    </row>
    <row r="7" spans="1:8" x14ac:dyDescent="0.3">
      <c r="G7" t="s">
        <v>81</v>
      </c>
      <c r="H7" t="s">
        <v>82</v>
      </c>
    </row>
    <row r="8" spans="1:8" x14ac:dyDescent="0.3">
      <c r="F8" t="s">
        <v>7</v>
      </c>
      <c r="G8">
        <f>'SMR+WGS'!D13</f>
        <v>62.5</v>
      </c>
      <c r="H8">
        <f>B6</f>
        <v>190.77187499999999</v>
      </c>
    </row>
    <row r="9" spans="1:8" x14ac:dyDescent="0.3">
      <c r="F9" t="s">
        <v>75</v>
      </c>
      <c r="G9">
        <v>8.3140000000000001</v>
      </c>
      <c r="H9">
        <v>8.3140000000000001</v>
      </c>
    </row>
    <row r="10" spans="1:8" x14ac:dyDescent="0.3">
      <c r="F10" t="s">
        <v>76</v>
      </c>
      <c r="G10">
        <f>'SMR+WGS'!M6+273.15</f>
        <v>623.15</v>
      </c>
      <c r="H10">
        <f>'SMR+WGS'!M4+273.15</f>
        <v>298.14999999999998</v>
      </c>
    </row>
    <row r="11" spans="1:8" x14ac:dyDescent="0.3">
      <c r="F11" t="s">
        <v>0</v>
      </c>
      <c r="G11">
        <v>1</v>
      </c>
      <c r="H11">
        <v>35</v>
      </c>
    </row>
    <row r="12" spans="1:8" x14ac:dyDescent="0.3">
      <c r="F12" t="s">
        <v>1</v>
      </c>
      <c r="G12">
        <v>30</v>
      </c>
      <c r="H12">
        <v>80</v>
      </c>
    </row>
    <row r="13" spans="1:8" x14ac:dyDescent="0.3">
      <c r="F13" t="s">
        <v>83</v>
      </c>
      <c r="G13">
        <f>G8*G9*G10*LN(G12/G11)/1000</f>
        <v>1101.3224011033979</v>
      </c>
      <c r="H13">
        <f>H8*H9*H10*LN(H12/H11)/1000</f>
        <v>390.92717692163444</v>
      </c>
    </row>
    <row r="14" spans="1:8" x14ac:dyDescent="0.3">
      <c r="F14" t="s">
        <v>84</v>
      </c>
      <c r="G14">
        <f>G13*10^-3/3.6</f>
        <v>0.30592288919538829</v>
      </c>
      <c r="H14">
        <f>H13*10^-3/3.6</f>
        <v>0.10859088247823179</v>
      </c>
    </row>
    <row r="15" spans="1:8" x14ac:dyDescent="0.3">
      <c r="F15" t="s">
        <v>45</v>
      </c>
      <c r="G15">
        <f>G14/B5/'SMR+WGS'!N46</f>
        <v>2.4054087312036031E-2</v>
      </c>
      <c r="H15">
        <f>H14/B5/'SMR+WGS'!N46</f>
        <v>8.5382776532100264E-3</v>
      </c>
    </row>
    <row r="16" spans="1:8" x14ac:dyDescent="0.3">
      <c r="F16" t="s">
        <v>85</v>
      </c>
      <c r="G16">
        <f>G15+H15</f>
        <v>3.2592364965246055E-2</v>
      </c>
    </row>
    <row r="18" spans="6:7" x14ac:dyDescent="0.3">
      <c r="F18" t="s">
        <v>127</v>
      </c>
      <c r="G18" s="2">
        <f>G4+G16</f>
        <v>4.4592364965246059E-2</v>
      </c>
    </row>
  </sheetData>
  <pageMargins left="0.7" right="0.7" top="0.78740157499999996" bottom="0.78740157499999996" header="0.3" footer="0.3"/>
  <ignoredErrors>
    <ignoredError sqref="B5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13EA2-6185-4E11-AA20-03C6C833BBEE}">
  <sheetPr>
    <pageSetUpPr autoPageBreaks="0"/>
  </sheetPr>
  <dimension ref="A1:K60"/>
  <sheetViews>
    <sheetView tabSelected="1" zoomScale="67" zoomScaleNormal="100" zoomScalePageLayoutView="46" workbookViewId="0">
      <selection activeCell="H28" sqref="H28"/>
    </sheetView>
  </sheetViews>
  <sheetFormatPr baseColWidth="10" defaultRowHeight="14.4" x14ac:dyDescent="0.3"/>
  <cols>
    <col min="1" max="1" width="49" customWidth="1"/>
    <col min="2" max="2" width="16.77734375" customWidth="1"/>
    <col min="3" max="3" width="14.33203125" customWidth="1"/>
    <col min="4" max="4" width="48.77734375" customWidth="1"/>
    <col min="5" max="5" width="20.109375" customWidth="1"/>
    <col min="6" max="6" width="30.21875" customWidth="1"/>
    <col min="7" max="7" width="46.77734375" customWidth="1"/>
    <col min="8" max="8" width="27.44140625" customWidth="1"/>
    <col min="9" max="9" width="28.33203125" customWidth="1"/>
    <col min="10" max="10" width="47.33203125" customWidth="1"/>
    <col min="11" max="11" width="25.33203125" customWidth="1"/>
    <col min="12" max="12" width="24.88671875" customWidth="1"/>
    <col min="13" max="13" width="48" customWidth="1"/>
    <col min="14" max="14" width="31.77734375" customWidth="1"/>
  </cols>
  <sheetData>
    <row r="1" spans="1:9" x14ac:dyDescent="0.3">
      <c r="A1" t="s">
        <v>94</v>
      </c>
      <c r="E1" t="s">
        <v>141</v>
      </c>
    </row>
    <row r="2" spans="1:9" x14ac:dyDescent="0.3">
      <c r="B2" t="s">
        <v>96</v>
      </c>
      <c r="C2" t="s">
        <v>97</v>
      </c>
      <c r="F2" t="s">
        <v>142</v>
      </c>
      <c r="G2" t="s">
        <v>143</v>
      </c>
      <c r="H2" t="s">
        <v>144</v>
      </c>
      <c r="I2" t="s">
        <v>145</v>
      </c>
    </row>
    <row r="3" spans="1:9" x14ac:dyDescent="0.3">
      <c r="A3" t="s">
        <v>107</v>
      </c>
      <c r="B3">
        <f>Vorkette!C12</f>
        <v>0.11937085036790639</v>
      </c>
      <c r="C3">
        <f>Vorkette!B12</f>
        <v>8.7364380450035764E-2</v>
      </c>
      <c r="E3" t="s">
        <v>33</v>
      </c>
      <c r="F3">
        <f>B42</f>
        <v>40.2876619991684</v>
      </c>
      <c r="G3">
        <f>E42</f>
        <v>40.2876619991684</v>
      </c>
      <c r="H3">
        <f>H42</f>
        <v>29.485478401887068</v>
      </c>
      <c r="I3">
        <f>K42</f>
        <v>29.485478401887068</v>
      </c>
    </row>
    <row r="4" spans="1:9" x14ac:dyDescent="0.3">
      <c r="A4" t="s">
        <v>131</v>
      </c>
      <c r="B4">
        <f>'SMR+WGS'!M53</f>
        <v>1.4921356295988297</v>
      </c>
      <c r="C4">
        <f>'SMR+WGS'!M53</f>
        <v>1.4921356295988297</v>
      </c>
      <c r="E4" t="s">
        <v>92</v>
      </c>
      <c r="F4">
        <f>B46</f>
        <v>192.6581158779301</v>
      </c>
      <c r="G4">
        <f>E46</f>
        <v>192.6581158779301</v>
      </c>
      <c r="H4">
        <f>H46</f>
        <v>192.6581158779301</v>
      </c>
      <c r="I4">
        <f>K46</f>
        <v>192.6581158779301</v>
      </c>
    </row>
    <row r="5" spans="1:9" x14ac:dyDescent="0.3">
      <c r="A5" t="s">
        <v>126</v>
      </c>
      <c r="B5">
        <f>'PSA+Verdichten'!G18</f>
        <v>4.4592364965246059E-2</v>
      </c>
      <c r="C5">
        <f>'PSA+Verdichten'!G18</f>
        <v>4.4592364965246059E-2</v>
      </c>
      <c r="E5" t="s">
        <v>93</v>
      </c>
      <c r="F5">
        <f>B57</f>
        <v>94.957117879461634</v>
      </c>
      <c r="G5">
        <f>E57</f>
        <v>80.687561090582889</v>
      </c>
      <c r="H5">
        <f>H55</f>
        <v>156.96965334533593</v>
      </c>
      <c r="I5">
        <f>K55</f>
        <v>14.674216884974747</v>
      </c>
    </row>
    <row r="6" spans="1:9" x14ac:dyDescent="0.3">
      <c r="A6" t="s">
        <v>90</v>
      </c>
      <c r="B6">
        <f>SUM(B3:B5)</f>
        <v>1.656098844931982</v>
      </c>
      <c r="C6">
        <f>SUM(C3:C5)</f>
        <v>1.6240923750141114</v>
      </c>
      <c r="E6" t="s">
        <v>89</v>
      </c>
      <c r="F6">
        <f>B60</f>
        <v>327.90289575656016</v>
      </c>
      <c r="G6">
        <f>E60</f>
        <v>313.63333896768137</v>
      </c>
      <c r="H6">
        <f>H60</f>
        <v>379.11324762515312</v>
      </c>
      <c r="I6">
        <f>K60</f>
        <v>236.81781116479192</v>
      </c>
    </row>
    <row r="7" spans="1:9" x14ac:dyDescent="0.3">
      <c r="A7" t="s">
        <v>91</v>
      </c>
      <c r="B7">
        <f>(1/B6)</f>
        <v>0.60382869238766435</v>
      </c>
      <c r="C7">
        <f>1/C6</f>
        <v>0.61572852344147677</v>
      </c>
    </row>
    <row r="18" spans="10:10" x14ac:dyDescent="0.3">
      <c r="J18" s="6"/>
    </row>
    <row r="39" spans="1:11" x14ac:dyDescent="0.3">
      <c r="A39" t="s">
        <v>114</v>
      </c>
    </row>
    <row r="40" spans="1:11" x14ac:dyDescent="0.3">
      <c r="A40" t="s">
        <v>112</v>
      </c>
      <c r="D40" t="s">
        <v>113</v>
      </c>
      <c r="G40" t="s">
        <v>144</v>
      </c>
      <c r="J40" t="s">
        <v>145</v>
      </c>
    </row>
    <row r="41" spans="1:11" x14ac:dyDescent="0.3">
      <c r="A41" t="str">
        <f>E3</f>
        <v>Vorkette</v>
      </c>
      <c r="D41" t="str">
        <f>A41</f>
        <v>Vorkette</v>
      </c>
      <c r="G41" t="str">
        <f>A41</f>
        <v>Vorkette</v>
      </c>
      <c r="J41" t="str">
        <f>A41</f>
        <v>Vorkette</v>
      </c>
    </row>
    <row r="42" spans="1:11" x14ac:dyDescent="0.3">
      <c r="A42" t="s">
        <v>136</v>
      </c>
      <c r="B42" s="3">
        <f>Vorkette!C11</f>
        <v>40.2876619991684</v>
      </c>
      <c r="D42" t="s">
        <v>136</v>
      </c>
      <c r="E42" s="3">
        <f>B42</f>
        <v>40.2876619991684</v>
      </c>
      <c r="G42" t="s">
        <v>136</v>
      </c>
      <c r="H42" s="3">
        <f>Vorkette!B11</f>
        <v>29.485478401887068</v>
      </c>
      <c r="J42" t="s">
        <v>136</v>
      </c>
      <c r="K42" s="3">
        <f>H42</f>
        <v>29.485478401887068</v>
      </c>
    </row>
    <row r="44" spans="1:11" x14ac:dyDescent="0.3">
      <c r="A44" t="str">
        <f>E4</f>
        <v>Prozess-CO2</v>
      </c>
      <c r="D44" t="str">
        <f>A44</f>
        <v>Prozess-CO2</v>
      </c>
      <c r="G44" t="str">
        <f>A44</f>
        <v>Prozess-CO2</v>
      </c>
      <c r="J44" t="str">
        <f>A44</f>
        <v>Prozess-CO2</v>
      </c>
    </row>
    <row r="45" spans="1:11" x14ac:dyDescent="0.3">
      <c r="A45" t="s">
        <v>137</v>
      </c>
      <c r="B45">
        <f>'SMR+WGS'!I16/'PSA+Verdichten'!B5</f>
        <v>6.4219371959310037</v>
      </c>
      <c r="D45" t="s">
        <v>137</v>
      </c>
      <c r="E45">
        <f>'SMR+WGS'!I16/'PSA+Verdichten'!B5</f>
        <v>6.4219371959310037</v>
      </c>
      <c r="G45" t="s">
        <v>137</v>
      </c>
      <c r="H45">
        <f>'SMR+WGS'!I16/'PSA+Verdichten'!B5</f>
        <v>6.4219371959310037</v>
      </c>
      <c r="J45" t="s">
        <v>137</v>
      </c>
      <c r="K45">
        <f>'SMR+WGS'!I16/'PSA+Verdichten'!B5</f>
        <v>6.4219371959310037</v>
      </c>
    </row>
    <row r="46" spans="1:11" x14ac:dyDescent="0.3">
      <c r="A46" t="s">
        <v>138</v>
      </c>
      <c r="B46" s="3">
        <f>B45*1000/'SMR+WGS'!N46</f>
        <v>192.6581158779301</v>
      </c>
      <c r="D46" t="s">
        <v>138</v>
      </c>
      <c r="E46" s="3">
        <f>B46</f>
        <v>192.6581158779301</v>
      </c>
      <c r="G46" t="s">
        <v>138</v>
      </c>
      <c r="H46" s="3">
        <f>H45*1000/'SMR+WGS'!N46</f>
        <v>192.6581158779301</v>
      </c>
      <c r="J46" t="s">
        <v>138</v>
      </c>
      <c r="K46" s="3">
        <f>K45*1000/'SMR+WGS'!N46</f>
        <v>192.6581158779301</v>
      </c>
    </row>
    <row r="48" spans="1:11" x14ac:dyDescent="0.3">
      <c r="A48" t="str">
        <f>E5</f>
        <v>Energieversorgung</v>
      </c>
      <c r="D48" t="str">
        <f>A48</f>
        <v>Energieversorgung</v>
      </c>
      <c r="G48" t="str">
        <f>D48</f>
        <v>Energieversorgung</v>
      </c>
      <c r="J48" t="str">
        <f>G48</f>
        <v>Energieversorgung</v>
      </c>
    </row>
    <row r="49" spans="1:11" x14ac:dyDescent="0.3">
      <c r="A49" t="s">
        <v>102</v>
      </c>
      <c r="B49">
        <f>'SMR+WGS'!M42</f>
        <v>0.40008087397338266</v>
      </c>
      <c r="D49" t="s">
        <v>102</v>
      </c>
      <c r="E49">
        <f>'SMR+WGS'!M42</f>
        <v>0.40008087397338266</v>
      </c>
      <c r="G49" t="s">
        <v>102</v>
      </c>
      <c r="H49">
        <f>'SMR+WGS'!M42</f>
        <v>0.40008087397338266</v>
      </c>
      <c r="J49" t="s">
        <v>102</v>
      </c>
      <c r="K49">
        <f>'SMR+WGS'!M42</f>
        <v>0.40008087397338266</v>
      </c>
    </row>
    <row r="50" spans="1:11" x14ac:dyDescent="0.3">
      <c r="A50" t="s">
        <v>117</v>
      </c>
      <c r="B50" t="s">
        <v>104</v>
      </c>
      <c r="D50" t="s">
        <v>117</v>
      </c>
      <c r="E50" t="s">
        <v>104</v>
      </c>
      <c r="G50" t="s">
        <v>117</v>
      </c>
      <c r="H50" t="s">
        <v>97</v>
      </c>
      <c r="J50" t="s">
        <v>117</v>
      </c>
      <c r="K50" t="s">
        <v>97</v>
      </c>
    </row>
    <row r="51" spans="1:11" x14ac:dyDescent="0.3">
      <c r="A51" t="s">
        <v>118</v>
      </c>
      <c r="B51">
        <f>Ergebnis!B49/'SMR+WGS'!N47</f>
        <v>2.8805822926083552E-2</v>
      </c>
      <c r="D51" t="s">
        <v>118</v>
      </c>
      <c r="E51">
        <f>Ergebnis!B49/'SMR+WGS'!N47</f>
        <v>2.8805822926083552E-2</v>
      </c>
      <c r="G51" t="s">
        <v>125</v>
      </c>
      <c r="H51">
        <f>H49</f>
        <v>0.40008087397338266</v>
      </c>
      <c r="J51" t="s">
        <v>125</v>
      </c>
      <c r="K51">
        <f>K49</f>
        <v>0.40008087397338266</v>
      </c>
    </row>
    <row r="52" spans="1:11" x14ac:dyDescent="0.3">
      <c r="A52" t="s">
        <v>119</v>
      </c>
      <c r="B52">
        <f>Eingabe!B20</f>
        <v>2750</v>
      </c>
      <c r="D52" t="s">
        <v>119</v>
      </c>
      <c r="E52">
        <f>Eingabe!B20</f>
        <v>2750</v>
      </c>
      <c r="G52" t="s">
        <v>127</v>
      </c>
      <c r="H52">
        <f>'PSA+Verdichten'!G18</f>
        <v>4.4592364965246059E-2</v>
      </c>
      <c r="J52" t="s">
        <v>127</v>
      </c>
      <c r="K52">
        <f>'PSA+Verdichten'!G18</f>
        <v>4.4592364965246059E-2</v>
      </c>
    </row>
    <row r="53" spans="1:11" x14ac:dyDescent="0.3">
      <c r="A53" s="4" t="s">
        <v>124</v>
      </c>
      <c r="B53">
        <f>B51*B52</f>
        <v>79.216013046729771</v>
      </c>
      <c r="D53" s="4" t="s">
        <v>124</v>
      </c>
      <c r="E53">
        <f>E51*E52</f>
        <v>79.216013046729771</v>
      </c>
      <c r="G53" t="s">
        <v>132</v>
      </c>
      <c r="H53">
        <f>H51+H52</f>
        <v>0.4446732389386287</v>
      </c>
      <c r="J53" t="s">
        <v>132</v>
      </c>
      <c r="K53">
        <f>K51+K52</f>
        <v>0.4446732389386287</v>
      </c>
    </row>
    <row r="54" spans="1:11" x14ac:dyDescent="0.3">
      <c r="A54" t="s">
        <v>127</v>
      </c>
      <c r="B54">
        <f>'PSA+Verdichten'!G18</f>
        <v>4.4592364965246059E-2</v>
      </c>
      <c r="D54" t="s">
        <v>127</v>
      </c>
      <c r="E54">
        <f>'PSA+Verdichten'!G18</f>
        <v>4.4592364965246059E-2</v>
      </c>
      <c r="G54" t="s">
        <v>122</v>
      </c>
      <c r="H54">
        <f>Eingabe!B21</f>
        <v>353</v>
      </c>
      <c r="J54" t="s">
        <v>123</v>
      </c>
      <c r="K54">
        <f>Eingabe!B22</f>
        <v>33</v>
      </c>
    </row>
    <row r="55" spans="1:11" x14ac:dyDescent="0.3">
      <c r="A55" t="s">
        <v>122</v>
      </c>
      <c r="B55">
        <f>Eingabe!B21</f>
        <v>353</v>
      </c>
      <c r="D55" t="s">
        <v>122</v>
      </c>
      <c r="E55">
        <f>Eingabe!B22</f>
        <v>33</v>
      </c>
      <c r="G55" t="s">
        <v>133</v>
      </c>
      <c r="H55" s="3">
        <f>H53*H54</f>
        <v>156.96965334533593</v>
      </c>
      <c r="J55" t="s">
        <v>133</v>
      </c>
      <c r="K55" s="3">
        <f>K53*K54</f>
        <v>14.674216884974747</v>
      </c>
    </row>
    <row r="56" spans="1:11" x14ac:dyDescent="0.3">
      <c r="A56" t="s">
        <v>52</v>
      </c>
      <c r="B56">
        <f>B54*Eingabe!B21</f>
        <v>15.741104832731859</v>
      </c>
      <c r="D56" t="s">
        <v>52</v>
      </c>
      <c r="E56">
        <f>E54*E55</f>
        <v>1.4715480438531199</v>
      </c>
    </row>
    <row r="57" spans="1:11" x14ac:dyDescent="0.3">
      <c r="A57" t="s">
        <v>46</v>
      </c>
      <c r="B57" s="3">
        <f>B53+B56</f>
        <v>94.957117879461634</v>
      </c>
      <c r="D57" t="s">
        <v>46</v>
      </c>
      <c r="E57" s="3">
        <f>E53+E56</f>
        <v>80.687561090582889</v>
      </c>
    </row>
    <row r="59" spans="1:11" x14ac:dyDescent="0.3">
      <c r="A59" t="s">
        <v>115</v>
      </c>
      <c r="D59" t="s">
        <v>115</v>
      </c>
      <c r="G59" t="s">
        <v>115</v>
      </c>
      <c r="J59" t="s">
        <v>115</v>
      </c>
    </row>
    <row r="60" spans="1:11" x14ac:dyDescent="0.3">
      <c r="A60" t="s">
        <v>116</v>
      </c>
      <c r="B60">
        <f>B42+B46+B57</f>
        <v>327.90289575656016</v>
      </c>
      <c r="D60" t="s">
        <v>116</v>
      </c>
      <c r="E60">
        <f>E42+E46+E57</f>
        <v>313.63333896768137</v>
      </c>
      <c r="G60" t="s">
        <v>116</v>
      </c>
      <c r="H60">
        <f>H42+H46+H55</f>
        <v>379.11324762515312</v>
      </c>
      <c r="J60" t="s">
        <v>116</v>
      </c>
      <c r="K60">
        <f>K42+K46+K55</f>
        <v>236.81781116479192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Eingabe</vt:lpstr>
      <vt:lpstr>Vorkette</vt:lpstr>
      <vt:lpstr>SMR+WGS</vt:lpstr>
      <vt:lpstr>PSA+Verdichten</vt:lpstr>
      <vt:lpstr>Ergebnis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Haibo</dc:creator>
  <cp:lastModifiedBy>海博 朱</cp:lastModifiedBy>
  <dcterms:created xsi:type="dcterms:W3CDTF">2015-06-05T18:19:34Z</dcterms:created>
  <dcterms:modified xsi:type="dcterms:W3CDTF">2026-06-26T21:58:25Z</dcterms:modified>
</cp:coreProperties>
</file>